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CD69D0C6-9F4C-46AD-A9C1-2FD1DE32148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6" i="1" l="1"/>
  <c r="O10" i="1"/>
  <c r="M11" i="1" s="1"/>
  <c r="J26" i="1"/>
  <c r="J10" i="1"/>
  <c r="O11" i="1" l="1"/>
  <c r="H11" i="1"/>
  <c r="J11" i="1" s="1"/>
  <c r="H12" i="1" s="1"/>
  <c r="J12" i="1" s="1"/>
  <c r="H13" i="1" s="1"/>
  <c r="J13" i="1" s="1"/>
  <c r="H14" i="1" s="1"/>
  <c r="J14" i="1" s="1"/>
  <c r="H15" i="1" s="1"/>
  <c r="J15" i="1" s="1"/>
  <c r="H16" i="1" s="1"/>
  <c r="J16" i="1" s="1"/>
  <c r="H17" i="1" s="1"/>
  <c r="J17" i="1" s="1"/>
  <c r="H18" i="1" s="1"/>
  <c r="J18" i="1" s="1"/>
  <c r="H19" i="1" s="1"/>
  <c r="J19" i="1" s="1"/>
  <c r="H20" i="1" s="1"/>
  <c r="J20" i="1" s="1"/>
  <c r="H21" i="1" s="1"/>
  <c r="J21" i="1" s="1"/>
  <c r="J25" i="1" s="1"/>
  <c r="J24" i="1"/>
  <c r="M12" i="1" l="1"/>
  <c r="O12" i="1" s="1"/>
  <c r="M13" i="1" s="1"/>
  <c r="O13" i="1" s="1"/>
  <c r="M14" i="1" s="1"/>
  <c r="O14" i="1" s="1"/>
  <c r="M15" i="1" s="1"/>
  <c r="O15" i="1" s="1"/>
  <c r="M16" i="1" s="1"/>
  <c r="O16" i="1" s="1"/>
  <c r="M17" i="1" s="1"/>
  <c r="O17" i="1" s="1"/>
  <c r="M18" i="1" s="1"/>
  <c r="O18" i="1" s="1"/>
  <c r="M19" i="1" s="1"/>
  <c r="O19" i="1" s="1"/>
  <c r="M20" i="1" s="1"/>
  <c r="O20" i="1" s="1"/>
  <c r="M21" i="1" s="1"/>
  <c r="O21" i="1" s="1"/>
  <c r="O25" i="1" s="1"/>
  <c r="O24" i="1"/>
</calcChain>
</file>

<file path=xl/sharedStrings.xml><?xml version="1.0" encoding="utf-8"?>
<sst xmlns="http://schemas.openxmlformats.org/spreadsheetml/2006/main" count="42" uniqueCount="22">
  <si>
    <t>Vývoj ceny benzínu</t>
  </si>
  <si>
    <t>v Kč/l Natural 95</t>
  </si>
  <si>
    <t>rok 2002</t>
  </si>
  <si>
    <t>rok 2025</t>
  </si>
  <si>
    <t>Začátek měsíce</t>
  </si>
  <si>
    <t>úprava</t>
  </si>
  <si>
    <t>konec měsíce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</si>
  <si>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</si>
  <si>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</si>
  <si>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</si>
  <si>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</si>
  <si>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</si>
  <si>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</si>
  <si>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</si>
  <si>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</si>
  <si>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</si>
  <si>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</si>
  <si>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</si>
  <si>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</si>
  <si>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Průměrná cena za rok</t>
  </si>
  <si>
    <t>Cenový rozdíl (leden - prosinec)</t>
  </si>
  <si>
    <t>V kolika měsících proběhlo zdražení?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</si>
</sst>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č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164" fontId="0" fillId="0" borderId="4" xfId="0" applyNumberFormat="1" applyBorder="1"/>
    <xf numFmtId="164" fontId="0" fillId="0" borderId="3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0" fontId="0" fillId="2" borderId="9" xfId="0" applyFill="1" applyBorder="1"/>
    <xf numFmtId="0" fontId="0" fillId="2" borderId="8" xfId="0" applyFill="1" applyBorder="1"/>
    <xf numFmtId="0" fontId="0" fillId="2" borderId="6" xfId="0" applyFill="1" applyBorder="1"/>
    <xf numFmtId="0" fontId="0" fillId="2" borderId="11" xfId="0" applyFill="1" applyBorder="1"/>
    <xf numFmtId="0" fontId="0" fillId="2" borderId="10" xfId="0" applyFill="1" applyBorder="1"/>
    <xf numFmtId="0" fontId="0" fillId="2" borderId="12" xfId="0" applyFill="1" applyBorder="1"/>
    <xf numFmtId="164" fontId="0" fillId="3" borderId="5" xfId="0" applyNumberFormat="1" applyFill="1" applyBorder="1"/>
    <xf numFmtId="164" fontId="0" fillId="3" borderId="3" xfId="0" applyNumberFormat="1" applyFill="1" applyBorder="1"/>
    <xf numFmtId="164" fontId="0" fillId="3" borderId="9" xfId="0" applyNumberFormat="1" applyFill="1" applyBorder="1"/>
    <xf numFmtId="164" fontId="0" fillId="3" borderId="11" xfId="0" applyNumberFormat="1" applyFill="1" applyBorder="1"/>
    <xf numFmtId="0" fontId="0" fillId="3" borderId="9" xfId="0" applyFill="1" applyBorder="1"/>
    <xf numFmtId="0" fontId="0" fillId="2" borderId="6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1" fillId="0" borderId="0" xfId="0" applyFont="1"/>
    <xf numFmtId="0" fontId="0" fillId="2" borderId="6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2" fillId="0" borderId="0" xfId="0" applyFont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Vývoj ceny benzínu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/>
          </c:tx>
          <c:spPr>
            <a:solidFill>
              <a:srgbClr val="FFC000"/>
            </a:solidFill>
            <a:ln>
              <a:solidFill>
                <a:srgbClr val="000000"/>
              </a:solidFill>
              <a:prstDash val="solid"/>
            </a:ln>
            <a:effectLst/>
          </c:spPr>
          <c:cat>
            <c:strRef>
              <c:f>List1!L10:L21</c:f>
              <c:strCache>
                <c:ptCount val="12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  <c:pt idx="6">
                  <c:v>červenec</c:v>
                </c:pt>
                <c:pt idx="7">
                  <c:v>srpen</c:v>
                </c:pt>
                <c:pt idx="8">
                  <c:v>září</c:v>
                </c:pt>
                <c:pt idx="9">
                  <c:v>říjen</c:v>
                </c:pt>
                <c:pt idx="10">
                  <c:v>listopad</c:v>
                </c:pt>
                <c:pt idx="11">
                  <c:v>prosinec</c:v>
                </c:pt>
              </c:strCache>
            </c:strRef>
          </c:cat>
          <c:val>
            <c:numRef>
              <c:f>List1!O10:O21</c:f>
              <c:numCache>
                <c:formatCode>#,##0.00\ "Kč"</c:formatCode>
                <c:ptCount val="12"/>
                <c:pt idx="0">
                  <c:v>36.5</c:v>
                </c:pt>
                <c:pt idx="1">
                  <c:v>35.25</c:v>
                </c:pt>
                <c:pt idx="2">
                  <c:v>35.6</c:v>
                </c:pt>
                <c:pt idx="3">
                  <c:v>34.9</c:v>
                </c:pt>
                <c:pt idx="4">
                  <c:v>33.979999999999997</c:v>
                </c:pt>
                <c:pt idx="5">
                  <c:v>34.779999999999994</c:v>
                </c:pt>
                <c:pt idx="6">
                  <c:v>34.489999999999995</c:v>
                </c:pt>
                <c:pt idx="7">
                  <c:v>34.159999999999997</c:v>
                </c:pt>
                <c:pt idx="8">
                  <c:v>34.129999999999995</c:v>
                </c:pt>
                <c:pt idx="9">
                  <c:v>34.809999999999995</c:v>
                </c:pt>
                <c:pt idx="10">
                  <c:v>34.219999999999992</c:v>
                </c:pt>
                <c:pt idx="11">
                  <c:v>34.519999999999989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F-4A67-9B21-BD9AE9A12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41639"/>
        <c:axId val="434648071"/>
      </c:areaChart>
      <c:catAx>
        <c:axId val="209541639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48071"/>
        <c:crosses val="autoZero"/>
        <c:auto val="1"/>
        <c:lblAlgn val="ctr"/>
        <c:lblOffset val="100"/>
        <c:noMultiLvlLbl val="0"/>
      </c:catAx>
      <c:valAx>
        <c:axId val="434648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Kč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41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Vývoj ceny benzínu 2002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/>
          </c:tx>
          <c:spPr>
            <a:solidFill>
              <a:srgbClr val="FFC000"/>
            </a:solidFill>
            <a:ln>
              <a:solidFill>
                <a:srgbClr val="000000"/>
              </a:solidFill>
              <a:prstDash val="solid"/>
            </a:ln>
            <a:effectLst/>
          </c:spPr>
          <c:cat>
            <c:strRef>
              <c:f>List1!$G$10:$G$21</c:f>
              <c:strCache>
                <c:ptCount val="12"/>
                <c:pt idx="0">
                  <c:v>leden</c:v>
                </c:pt>
                <c:pt idx="1">
                  <c:v>únor</c:v>
                </c:pt>
                <c:pt idx="2">
                  <c:v>březen</c:v>
                </c:pt>
                <c:pt idx="3">
                  <c:v>duben</c:v>
                </c:pt>
                <c:pt idx="4">
                  <c:v>květen</c:v>
                </c:pt>
                <c:pt idx="5">
                  <c:v>červen</c:v>
                </c:pt>
                <c:pt idx="6">
                  <c:v>červenec</c:v>
                </c:pt>
                <c:pt idx="7">
                  <c:v>srpen</c:v>
                </c:pt>
                <c:pt idx="8">
                  <c:v>září</c:v>
                </c:pt>
                <c:pt idx="9">
                  <c:v>říjen</c:v>
                </c:pt>
                <c:pt idx="10">
                  <c:v>listopad</c:v>
                </c:pt>
                <c:pt idx="11">
                  <c:v>prosinec</c:v>
                </c:pt>
              </c:strCache>
            </c:strRef>
          </c:cat>
          <c:val>
            <c:numRef>
              <c:f>List1!J10:J21</c:f>
              <c:numCache>
                <c:formatCode>#,##0.00\ "Kč"</c:formatCode>
                <c:ptCount val="12"/>
                <c:pt idx="0">
                  <c:v>22.8</c:v>
                </c:pt>
                <c:pt idx="1">
                  <c:v>23.1</c:v>
                </c:pt>
                <c:pt idx="2">
                  <c:v>23.700000000000003</c:v>
                </c:pt>
                <c:pt idx="3">
                  <c:v>24.900000000000002</c:v>
                </c:pt>
                <c:pt idx="4">
                  <c:v>25.6</c:v>
                </c:pt>
                <c:pt idx="5">
                  <c:v>26</c:v>
                </c:pt>
                <c:pt idx="6">
                  <c:v>26.2</c:v>
                </c:pt>
                <c:pt idx="7">
                  <c:v>26.9</c:v>
                </c:pt>
                <c:pt idx="8">
                  <c:v>26.9</c:v>
                </c:pt>
                <c:pt idx="9">
                  <c:v>25.9</c:v>
                </c:pt>
                <c:pt idx="10">
                  <c:v>26.5</c:v>
                </c:pt>
                <c:pt idx="11">
                  <c:v>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2-4FB5-9AEB-D37BB317A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41639"/>
        <c:axId val="434648071"/>
      </c:areaChart>
      <c:catAx>
        <c:axId val="209541639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48071"/>
        <c:crosses val="autoZero"/>
        <c:auto val="1"/>
        <c:lblAlgn val="ctr"/>
        <c:lblOffset val="100"/>
        <c:noMultiLvlLbl val="0"/>
      </c:catAx>
      <c:valAx>
        <c:axId val="434648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Kč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41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27</xdr:row>
      <xdr:rowOff>95250</xdr:rowOff>
    </xdr:from>
    <xdr:to>
      <xdr:col>14</xdr:col>
      <xdr:colOff>904875</xdr:colOff>
      <xdr:row>41</xdr:row>
      <xdr:rowOff>171450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D30B251C-F8FF-46C0-A270-5DBFFB64D2AE}"/>
            </a:ext>
            <a:ext uri="{147F2762-F138-4A5C-976F-8EAC2B608ADB}">
              <a16:predDERef xmlns:a16="http://schemas.microsoft.com/office/drawing/2014/main" pred="{F984AC49-6C09-0702-7609-889C80318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638175</xdr:colOff>
      <xdr:row>26</xdr:row>
      <xdr:rowOff>133350</xdr:rowOff>
    </xdr:from>
    <xdr:to>
      <xdr:col>9</xdr:col>
      <xdr:colOff>1114425</xdr:colOff>
      <xdr:row>41</xdr:row>
      <xdr:rowOff>19050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F984AC49-6C09-0702-7609-889C80318834}"/>
            </a:ext>
            <a:ext uri="{147F2762-F138-4A5C-976F-8EAC2B608ADB}">
              <a16:predDERef xmlns:a16="http://schemas.microsoft.com/office/drawing/2014/main" pred="{D30B251C-F8FF-46C0-A270-5DBFFB64D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6:O26"/>
  <sheetViews>
    <sheetView tabSelected="1" workbookViewId="0">
      <selection activeCell="G6" sqref="G6:J6"/>
    </sheetView>
  </sheetViews>
  <sheetFormatPr defaultRowHeight="15"/>
  <cols>
    <col min="7" max="7" width="18.28515625" customWidth="1"/>
    <col min="8" max="8" width="21.7109375" customWidth="1"/>
    <col min="9" max="9" width="21.42578125" customWidth="1"/>
    <col min="10" max="10" width="24.28515625" customWidth="1"/>
    <col min="12" max="12" width="18.5703125" customWidth="1"/>
    <col min="13" max="13" width="18.140625" customWidth="1"/>
    <col min="14" max="15" width="18.28515625" customWidth="1"/>
    <col min="21" max="21" width="18" customWidth="1"/>
    <col min="22" max="22" width="19" customWidth="1"/>
    <col min="23" max="23" width="17.5703125" customWidth="1"/>
    <col min="24" max="24" width="18.7109375" customWidth="1"/>
  </cols>
  <sheetData>
    <row r="6" spans="7:15" ht="15.75">
      <c r="G6" s="24" t="s">
        <v>0</v>
      </c>
      <c r="H6" s="24"/>
      <c r="I6" s="24"/>
      <c r="J6" s="24"/>
      <c r="L6" s="24" t="s">
        <v>0</v>
      </c>
      <c r="M6" s="24"/>
      <c r="N6" s="24"/>
      <c r="O6" s="24"/>
    </row>
    <row r="8" spans="7:15">
      <c r="G8" s="20" t="s">
        <v>1</v>
      </c>
      <c r="J8" s="20" t="s">
        <v>2</v>
      </c>
      <c r="L8" s="20" t="s">
        <v>1</v>
      </c>
      <c r="O8" s="20" t="s">
        <v>3</v>
      </c>
    </row>
    <row r="9" spans="7:15">
      <c r="G9" s="6"/>
      <c r="H9" s="7" t="s">
        <v>4</v>
      </c>
      <c r="I9" s="8" t="s">
        <v>5</v>
      </c>
      <c r="J9" s="6" t="s">
        <v>6</v>
      </c>
      <c r="L9" s="6"/>
      <c r="M9" s="7" t="s">
        <v>4</v>
      </c>
      <c r="N9" s="8" t="s">
        <v>5</v>
      </c>
      <c r="O9" s="6" t="s">
        <v>6</v>
      </c>
    </row>
    <row r="10" spans="7:15">
      <c r="G10" s="9" t="s">
        <v>7</v>
      </c>
      <c r="H10" s="2">
        <v>22.5</v>
      </c>
      <c r="I10" s="3">
        <v>0.3</v>
      </c>
      <c r="J10" s="13">
        <f>H10+I10</f>
        <v>22.8</v>
      </c>
      <c r="L10" s="9" t="s">
        <v>7</v>
      </c>
      <c r="M10" s="2">
        <v>35.799999999999997</v>
      </c>
      <c r="N10" s="3">
        <v>0.7</v>
      </c>
      <c r="O10" s="13">
        <f>M10+N10</f>
        <v>36.5</v>
      </c>
    </row>
    <row r="11" spans="7:15">
      <c r="G11" s="6" t="s">
        <v>8</v>
      </c>
      <c r="H11" s="12">
        <f>J10</f>
        <v>22.8</v>
      </c>
      <c r="I11" s="4">
        <v>0.3</v>
      </c>
      <c r="J11" s="13">
        <f t="shared" ref="J11:J21" si="0">H11+I11</f>
        <v>23.1</v>
      </c>
      <c r="L11" s="6" t="s">
        <v>8</v>
      </c>
      <c r="M11" s="12">
        <f>O10</f>
        <v>36.5</v>
      </c>
      <c r="N11" s="4">
        <v>-1.25</v>
      </c>
      <c r="O11" s="13">
        <f t="shared" ref="O11:O20" si="1">M11+N11</f>
        <v>35.25</v>
      </c>
    </row>
    <row r="12" spans="7:15">
      <c r="G12" s="10" t="s">
        <v>9</v>
      </c>
      <c r="H12" s="12">
        <f t="shared" ref="H12:H21" si="2">J11</f>
        <v>23.1</v>
      </c>
      <c r="I12" s="4">
        <v>0.6</v>
      </c>
      <c r="J12" s="13">
        <f t="shared" si="0"/>
        <v>23.700000000000003</v>
      </c>
      <c r="L12" s="10" t="s">
        <v>9</v>
      </c>
      <c r="M12" s="12">
        <f t="shared" ref="M12:M21" si="3">O11</f>
        <v>35.25</v>
      </c>
      <c r="N12" s="4">
        <v>0.35</v>
      </c>
      <c r="O12" s="13">
        <f t="shared" si="1"/>
        <v>35.6</v>
      </c>
    </row>
    <row r="13" spans="7:15">
      <c r="G13" s="10" t="s">
        <v>10</v>
      </c>
      <c r="H13" s="12">
        <f t="shared" si="2"/>
        <v>23.700000000000003</v>
      </c>
      <c r="I13" s="4">
        <v>1.2</v>
      </c>
      <c r="J13" s="13">
        <f t="shared" si="0"/>
        <v>24.900000000000002</v>
      </c>
      <c r="L13" s="10" t="s">
        <v>10</v>
      </c>
      <c r="M13" s="12">
        <f t="shared" si="3"/>
        <v>35.6</v>
      </c>
      <c r="N13" s="4">
        <v>-0.7</v>
      </c>
      <c r="O13" s="13">
        <f t="shared" si="1"/>
        <v>34.9</v>
      </c>
    </row>
    <row r="14" spans="7:15">
      <c r="G14" s="10" t="s">
        <v>11</v>
      </c>
      <c r="H14" s="12">
        <f t="shared" si="2"/>
        <v>24.900000000000002</v>
      </c>
      <c r="I14" s="4">
        <v>0.7</v>
      </c>
      <c r="J14" s="13">
        <f t="shared" si="0"/>
        <v>25.6</v>
      </c>
      <c r="L14" s="10" t="s">
        <v>11</v>
      </c>
      <c r="M14" s="12">
        <f t="shared" si="3"/>
        <v>34.9</v>
      </c>
      <c r="N14" s="4">
        <v>-0.92</v>
      </c>
      <c r="O14" s="13">
        <f t="shared" si="1"/>
        <v>33.979999999999997</v>
      </c>
    </row>
    <row r="15" spans="7:15">
      <c r="G15" s="10" t="s">
        <v>12</v>
      </c>
      <c r="H15" s="12">
        <f t="shared" si="2"/>
        <v>25.6</v>
      </c>
      <c r="I15" s="4">
        <v>0.4</v>
      </c>
      <c r="J15" s="13">
        <f t="shared" si="0"/>
        <v>26</v>
      </c>
      <c r="L15" s="10" t="s">
        <v>12</v>
      </c>
      <c r="M15" s="12">
        <f t="shared" si="3"/>
        <v>33.979999999999997</v>
      </c>
      <c r="N15" s="4">
        <v>0.8</v>
      </c>
      <c r="O15" s="13">
        <f t="shared" si="1"/>
        <v>34.779999999999994</v>
      </c>
    </row>
    <row r="16" spans="7:15">
      <c r="G16" s="10" t="s">
        <v>13</v>
      </c>
      <c r="H16" s="12">
        <f t="shared" si="2"/>
        <v>26</v>
      </c>
      <c r="I16" s="4">
        <v>0.2</v>
      </c>
      <c r="J16" s="13">
        <f t="shared" si="0"/>
        <v>26.2</v>
      </c>
      <c r="L16" s="10" t="s">
        <v>13</v>
      </c>
      <c r="M16" s="12">
        <f t="shared" si="3"/>
        <v>34.779999999999994</v>
      </c>
      <c r="N16" s="4">
        <v>-0.28999999999999998</v>
      </c>
      <c r="O16" s="13">
        <f t="shared" si="1"/>
        <v>34.489999999999995</v>
      </c>
    </row>
    <row r="17" spans="7:15">
      <c r="G17" s="9" t="s">
        <v>14</v>
      </c>
      <c r="H17" s="12">
        <f t="shared" si="2"/>
        <v>26.2</v>
      </c>
      <c r="I17" s="4">
        <v>0.7</v>
      </c>
      <c r="J17" s="13">
        <f t="shared" si="0"/>
        <v>26.9</v>
      </c>
      <c r="L17" s="9" t="s">
        <v>14</v>
      </c>
      <c r="M17" s="12">
        <f t="shared" si="3"/>
        <v>34.489999999999995</v>
      </c>
      <c r="N17" s="4">
        <v>-0.33</v>
      </c>
      <c r="O17" s="13">
        <f t="shared" si="1"/>
        <v>34.159999999999997</v>
      </c>
    </row>
    <row r="18" spans="7:15">
      <c r="G18" s="11" t="s">
        <v>15</v>
      </c>
      <c r="H18" s="12">
        <f t="shared" si="2"/>
        <v>26.9</v>
      </c>
      <c r="I18" s="5">
        <v>0</v>
      </c>
      <c r="J18" s="13">
        <f t="shared" si="0"/>
        <v>26.9</v>
      </c>
      <c r="L18" s="11" t="s">
        <v>15</v>
      </c>
      <c r="M18" s="12">
        <f t="shared" si="3"/>
        <v>34.159999999999997</v>
      </c>
      <c r="N18" s="5">
        <v>-0.03</v>
      </c>
      <c r="O18" s="13">
        <f t="shared" si="1"/>
        <v>34.129999999999995</v>
      </c>
    </row>
    <row r="19" spans="7:15">
      <c r="G19" s="11" t="s">
        <v>16</v>
      </c>
      <c r="H19" s="12">
        <f t="shared" si="2"/>
        <v>26.9</v>
      </c>
      <c r="I19" s="5">
        <v>-1</v>
      </c>
      <c r="J19" s="13">
        <f t="shared" si="0"/>
        <v>25.9</v>
      </c>
      <c r="L19" s="11" t="s">
        <v>16</v>
      </c>
      <c r="M19" s="12">
        <f t="shared" si="3"/>
        <v>34.129999999999995</v>
      </c>
      <c r="N19" s="5">
        <v>0.68</v>
      </c>
      <c r="O19" s="13">
        <f t="shared" si="1"/>
        <v>34.809999999999995</v>
      </c>
    </row>
    <row r="20" spans="7:15">
      <c r="G20" s="6" t="s">
        <v>17</v>
      </c>
      <c r="H20" s="12">
        <f t="shared" si="2"/>
        <v>25.9</v>
      </c>
      <c r="I20" s="4">
        <v>0.6</v>
      </c>
      <c r="J20" s="13">
        <f t="shared" si="0"/>
        <v>26.5</v>
      </c>
      <c r="L20" s="6" t="s">
        <v>17</v>
      </c>
      <c r="M20" s="12">
        <f t="shared" si="3"/>
        <v>34.809999999999995</v>
      </c>
      <c r="N20" s="4">
        <v>-0.59</v>
      </c>
      <c r="O20" s="13">
        <f t="shared" si="1"/>
        <v>34.219999999999992</v>
      </c>
    </row>
    <row r="21" spans="7:15">
      <c r="G21" s="10" t="s">
        <v>18</v>
      </c>
      <c r="H21" s="12">
        <f t="shared" si="2"/>
        <v>26.5</v>
      </c>
      <c r="I21" s="4">
        <v>0.3</v>
      </c>
      <c r="J21" s="13">
        <f>H21+I21</f>
        <v>26.8</v>
      </c>
      <c r="L21" s="10" t="s">
        <v>18</v>
      </c>
      <c r="M21" s="12">
        <f t="shared" si="3"/>
        <v>34.219999999999992</v>
      </c>
      <c r="N21" s="4">
        <v>0.3</v>
      </c>
      <c r="O21" s="13">
        <f>M21+N21</f>
        <v>34.519999999999989</v>
      </c>
    </row>
    <row r="22" spans="7:15">
      <c r="G22" s="1"/>
      <c r="H22" s="1"/>
      <c r="I22" s="1"/>
      <c r="J22" s="1"/>
      <c r="L22" s="1"/>
      <c r="M22" s="1"/>
      <c r="N22" s="1"/>
      <c r="O22" s="1"/>
    </row>
    <row r="24" spans="7:15">
      <c r="G24" s="17" t="s">
        <v>19</v>
      </c>
      <c r="H24" s="18"/>
      <c r="I24" s="19"/>
      <c r="J24" s="14">
        <f>AVERAGE(J10:J21)</f>
        <v>25.441666666666666</v>
      </c>
      <c r="L24" s="21" t="s">
        <v>19</v>
      </c>
      <c r="M24" s="22"/>
      <c r="N24" s="23"/>
      <c r="O24" s="14">
        <f>AVERAGE(O10:O21)</f>
        <v>34.778333333333329</v>
      </c>
    </row>
    <row r="25" spans="7:15">
      <c r="G25" s="17" t="s">
        <v>20</v>
      </c>
      <c r="H25" s="18"/>
      <c r="I25" s="19"/>
      <c r="J25" s="15">
        <f>J21-H10</f>
        <v>4.3000000000000007</v>
      </c>
      <c r="L25" s="17" t="s">
        <v>20</v>
      </c>
      <c r="M25" s="18"/>
      <c r="N25" s="19"/>
      <c r="O25" s="15">
        <f>O21-M10</f>
        <v>-1.2800000000000082</v>
      </c>
    </row>
    <row r="26" spans="7:15">
      <c r="G26" s="17" t="s">
        <v>21</v>
      </c>
      <c r="H26" s="18"/>
      <c r="I26" s="19"/>
      <c r="J26" s="16">
        <f>COUNTIF(I10:I21,"&gt;0")</f>
        <v>10</v>
      </c>
      <c r="L26" s="17" t="s">
        <v>21</v>
      </c>
      <c r="M26" s="18"/>
      <c r="N26" s="19"/>
      <c r="O26" s="16">
        <f>COUNTIF(N10:N21,"&gt;0")</f>
        <v>5</v>
      </c>
    </row>
  </sheetData>
  <mergeCells count="7">
    <mergeCell ref="L25:N25"/>
    <mergeCell ref="L26:N26"/>
    <mergeCell ref="L6:O6"/>
    <mergeCell ref="G6:J6"/>
    <mergeCell ref="G24:I24"/>
    <mergeCell ref="G25:I25"/>
    <mergeCell ref="G26:I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2026-09-18T06:07:06Z</dcterms:created>
  <dcterms:modified xsi:type="dcterms:W3CDTF">2026-09-18T06:38:50Z</dcterms:modified>
  <cp:category/>
  <cp:contentStatus/>
</cp:coreProperties>
</file>